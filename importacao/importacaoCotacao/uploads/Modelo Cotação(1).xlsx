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<sst xmlns="http://schemas.openxmlformats.org/spreadsheetml/2006/main" count="183" uniqueCount="96">
  <si>
    <t xml:space="preserve">Referência Fornecedor</t>
  </si>
  <si>
    <t xml:space="preserve">Descrição</t>
  </si>
  <si>
    <t xml:space="preserve">Unid. Forn.</t>
  </si>
  <si>
    <t xml:space="preserve">Unid. Sankhya</t>
  </si>
  <si>
    <t xml:space="preserve">Fator</t>
  </si>
  <si>
    <t xml:space="preserve">Quantidade</t>
  </si>
  <si>
    <t xml:space="preserve">Preço Orçamento</t>
  </si>
  <si>
    <t xml:space="preserve">PF RDA M12-1,25 X 26,5/51,5 X CH19 - ZB - KIT 4UN</t>
  </si>
  <si>
    <t xml:space="preserve">UN</t>
  </si>
  <si>
    <t xml:space="preserve">PO RDA 7/16"-20UNF X CH3/4" X H14,5 - CON - ZB - KIT 8UN</t>
  </si>
  <si>
    <t xml:space="preserve">PF RDA M12-1,5 X 36/41 - REC - EN - KIT 4UN</t>
  </si>
  <si>
    <t xml:space="preserve">PF RDA M12-1,5 X 42/47 - REC - EN - KIT 4UN</t>
  </si>
  <si>
    <t xml:space="preserve">PO RDA M12-1,5 X CH19 X H14 - CON - ZB - KIT 8UN</t>
  </si>
  <si>
    <t xml:space="preserve">PO RDA M12-1,25 X CH19 X H21 - CON/FLG - BC - KIT 4UN</t>
  </si>
  <si>
    <t xml:space="preserve">PO RDA M14-1,5 X CH21 X H23 - OSC - EN - KIT 4UN</t>
  </si>
  <si>
    <t xml:space="preserve">PF RDA M12-1,5 X 41/45 - REC - EN - KIT 4UN</t>
  </si>
  <si>
    <t xml:space="preserve">PO RDA 1,1/8"-16UNF X CH1,1/2" X H22,2 - DIR - ESF - ZB</t>
  </si>
  <si>
    <t xml:space="preserve">PF RDA 5/8"-18UNF X 61/68 - DIR - REC -  EN</t>
  </si>
  <si>
    <t xml:space="preserve">PF RDA 5/8"-18UNF X 61/68 - ESQ - REC - EN</t>
  </si>
  <si>
    <t xml:space="preserve">PF RDA M18-2,0 X 60/69 - EN</t>
  </si>
  <si>
    <t xml:space="preserve">PF RDA M12-1,5 X 38/43 - REC - EN - KIT 4UN</t>
  </si>
  <si>
    <t xml:space="preserve">PF RDA M12-1,5 X 45,5/51 - REC - EN - KIT 4UN</t>
  </si>
  <si>
    <t xml:space="preserve">PF RDA M14-1.5 X 27/48 X CH17 - ZB - KIT 4UN</t>
  </si>
  <si>
    <t xml:space="preserve">PF RDA M12-1.25 X 22/48,5 X CH19 - ZB - KIT 4UN</t>
  </si>
  <si>
    <t xml:space="preserve">PO RDA 1/2"-20UNF X CH3/4" X H36 - CON - CR - KIT 4UN</t>
  </si>
  <si>
    <t xml:space="preserve">PF RDA M12-1,5 X 23/50,5 X CH17 - ZB - KIT 4UN</t>
  </si>
  <si>
    <t xml:space="preserve">PO RDA 5/8''-18UNF X CH1,1/16" X H16,8 - DIR - CON - ZB</t>
  </si>
  <si>
    <t xml:space="preserve">PO RDA 5/8''-18UNF X CH1,1/16" X H16,8 - ESQ - CON - ZB</t>
  </si>
  <si>
    <t xml:space="preserve">PF SX 1/4"-20UNC X 1/2" - GRAU 5 - RI - (EN)</t>
  </si>
  <si>
    <t xml:space="preserve">PF SX 1/4"-20UNC X 4" - GRAU 5 - RP - (EN)</t>
  </si>
  <si>
    <t xml:space="preserve">PF SX 5/16"-18UNC X 1/2" - GRAU 5 - RI - (EN)</t>
  </si>
  <si>
    <t xml:space="preserve">PF SX 3/8"-16UNC X 1.1/4" - GRAU 5 - RI - (EN)</t>
  </si>
  <si>
    <t xml:space="preserve">PF SX 1/2"-13UNC X 3.1/2" - GRAU 2 - RP - (P)</t>
  </si>
  <si>
    <t xml:space="preserve">PF SX 1/2"-13UNC X 4" - GRAU 2 - RP - (P)</t>
  </si>
  <si>
    <t xml:space="preserve">PF SX 5/8"-11UNC X 1.1/2" - GRAU 5 - RI - (EN)</t>
  </si>
  <si>
    <t xml:space="preserve">PF SX 5/8"-11UNC X 2" - GRAU 5 - RI - (EN)</t>
  </si>
  <si>
    <t xml:space="preserve">PF SX 5/8"-11UNC X 6" - GRAU 5 - RP - (EN)</t>
  </si>
  <si>
    <t xml:space="preserve">PF SX 3/4"-10UNC X 5" - GRAU 2 - RP - (P)</t>
  </si>
  <si>
    <t xml:space="preserve">PF SX 5/16"-24UNF X 2" - GRAU 5 - RI - (EN)</t>
  </si>
  <si>
    <t xml:space="preserve">PF SX 7/16"-20UNF X 2" - GRAU 5 - RI - (EN)</t>
  </si>
  <si>
    <t xml:space="preserve">PF SX M8-1,25 X 25 - 5.8 - RI - (P)</t>
  </si>
  <si>
    <t xml:space="preserve">PF SX M6-1,0 X 16 - 8.8 - RI - (EN)</t>
  </si>
  <si>
    <t xml:space="preserve">PF SX M6-1,0 X 25 - 8.8 - RI - (EN)</t>
  </si>
  <si>
    <t xml:space="preserve">PF SX M6-1,0 X 50 - 8.8 - RI - (EN)</t>
  </si>
  <si>
    <t xml:space="preserve">PF SX M8-1,25 X 16 - 8.8 - RI - (EN)</t>
  </si>
  <si>
    <t xml:space="preserve">PF SX M8-1,25 X 20 - 8.8 - RI - (EN)</t>
  </si>
  <si>
    <t xml:space="preserve">PF SX M8-1,25 X 25 - 8.8 - RI - (EN)</t>
  </si>
  <si>
    <t xml:space="preserve">PF SX M8-1,25 X 30 - 8.8 - RI - (EN)</t>
  </si>
  <si>
    <t xml:space="preserve">PF SX M8-1,25 X 35 - 8.8 - RI - (EN)</t>
  </si>
  <si>
    <t xml:space="preserve">PF SX M8-1,25 X 50 - 8.8 - RI - (EN)</t>
  </si>
  <si>
    <t xml:space="preserve">PF SX M8-1,25 X 70 - 8.8 - RP - (EN)</t>
  </si>
  <si>
    <t xml:space="preserve">PF SX M10-1,5 X 30 - 8.8 - RI - (EN)</t>
  </si>
  <si>
    <t xml:space="preserve">PF SX M10-1,5 X 40 - 8.8 - RI - (EN)</t>
  </si>
  <si>
    <t xml:space="preserve">PF SX M10-1,5 X 45 - 8.8 - RI - (EN)</t>
  </si>
  <si>
    <t xml:space="preserve">PF SX M10-1,5 X 50 - 8.8 - RI - (EN)</t>
  </si>
  <si>
    <t xml:space="preserve">PF SX M10-1,5 X 60 - 8.8 - RI - (EN)</t>
  </si>
  <si>
    <t xml:space="preserve">PF SX M10-1,5 X 80 - 8.8 - RP - (EN)</t>
  </si>
  <si>
    <t xml:space="preserve">PF SX M12- 1,75 X 25 - 8.8 - RI - (EN)</t>
  </si>
  <si>
    <t xml:space="preserve">PF SX M12- 1,75 X 45 - 8.8 - RI - (EN)</t>
  </si>
  <si>
    <t xml:space="preserve">PF SX M12-1,5 X 20 - 8.8 - RI - (EN)</t>
  </si>
  <si>
    <t xml:space="preserve">PF SX M12-1,5 X 35 - 8.8 - RI - (EN)</t>
  </si>
  <si>
    <t xml:space="preserve">PF SX M12-1,5 X 40 - 8.8 - RP - (EN)</t>
  </si>
  <si>
    <t xml:space="preserve">PF SX M14-1,5 X 80 - 8.8 - RP - (EN)</t>
  </si>
  <si>
    <t xml:space="preserve">PF FL M6-1,0 X 25 - 8.8 - (ZB)</t>
  </si>
  <si>
    <t xml:space="preserve">PF FL M6-1,0 X 30 - 8.8 - (ZB)</t>
  </si>
  <si>
    <t xml:space="preserve">PO INS. NY M6-1,0 X CH10 X H6,0 - CLASSE 8  - (ZB)</t>
  </si>
  <si>
    <t xml:space="preserve">BA RO 1/2"-13UNC X 1000MM (P)</t>
  </si>
  <si>
    <t xml:space="preserve">BA RO 3/4"-10UNC X 1000MM (P)</t>
  </si>
  <si>
    <t xml:space="preserve">BA RO M8-1,25 X 1000MM (P)</t>
  </si>
  <si>
    <t xml:space="preserve">PF SX M8-1,25 X 40 - 8.8 - RP - (EN)</t>
  </si>
  <si>
    <t xml:space="preserve">PF SX M10-1,5 X 40 - 8.8 - RP - (EN)</t>
  </si>
  <si>
    <t xml:space="preserve">PF SX M10-1,5 X 45 - 8.8 - RP - (EN)</t>
  </si>
  <si>
    <t xml:space="preserve">PF SX M8-1,25 X 50 - 8.8 - RP - (EN)</t>
  </si>
  <si>
    <t xml:space="preserve">PF FL M8-1,25 X 20 - 8.8 - (EN)</t>
  </si>
  <si>
    <t xml:space="preserve">PF SX 5/16"-18UNC X 4" - GRAU 5- RP - (ZB)</t>
  </si>
  <si>
    <t xml:space="preserve">PF SX M10-1,5 X 50 - 8.8 - RI - (ZB)</t>
  </si>
  <si>
    <t xml:space="preserve">PF SX M12-1,75 X 45 - 8.8 - RP - (ZB)</t>
  </si>
  <si>
    <t xml:space="preserve">PF SX M6-1,0 X 25 - 8.8 - RI - (ZB)</t>
  </si>
  <si>
    <t xml:space="preserve">PF SX M6-1,0 X 35 - 8.8 - RI - (ZB)</t>
  </si>
  <si>
    <t xml:space="preserve">PF SX M8-1,25 X 16 - 8.8 - RI - (ZB)</t>
  </si>
  <si>
    <t xml:space="preserve">PF SX M8-1,25 X 25 - 8.8 - RI - (ZB)</t>
  </si>
  <si>
    <t xml:space="preserve">PF SX M10-1,5 X 80 - 8.8 - RP - (ZB)</t>
  </si>
  <si>
    <t xml:space="preserve">PF SX M8-1,25 X 35 - 8.8 - RI - (ZB)</t>
  </si>
  <si>
    <t xml:space="preserve">PF SX M8-1,25 X 40 - 8.8 - RI - (ZB)</t>
  </si>
  <si>
    <t xml:space="preserve">PF SX M8-1,25 X 50 - 8.8 - RI - (ZB)</t>
  </si>
  <si>
    <t xml:space="preserve">PF SX M8-1,25 X 70 - 8.8 - RP - (ZB)</t>
  </si>
  <si>
    <t xml:space="preserve">PF SX M10-1,5 X 40 - 8.8 - RI - (ZB)</t>
  </si>
  <si>
    <t xml:space="preserve">PF SX M12-1,75 X 25 - 8.8 - RI - (ZB)</t>
  </si>
  <si>
    <t xml:space="preserve">PF SX 5/8"-11UNC X 2" - GRAU 5 - RI - (ZB)</t>
  </si>
  <si>
    <t xml:space="preserve">PF SX 3/4"-10UNC X 2" - GRAU 5 - RI - (ZB)</t>
  </si>
  <si>
    <t xml:space="preserve">PF SX M6-1,0 X 16 - 8.8 - RI - (ZB)</t>
  </si>
  <si>
    <t xml:space="preserve">PF SX M8-1,25 X 30 - 8.8 - RI - (ZB)</t>
  </si>
  <si>
    <t xml:space="preserve">PF SX M10-1,5 X 30 - 8.8 - RI - (ZB)</t>
  </si>
  <si>
    <t xml:space="preserve">PF SX M6-1,0 X 50 - 8.8 - RI - (ZB)</t>
  </si>
  <si>
    <t xml:space="preserve">PF FL M8-1,25 X 20 - 8.8 - (ZB)</t>
  </si>
  <si>
    <t xml:space="preserve">PF FL M6-1,0 X 25 - 8.8 - (EN)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</si>
</sst>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7"/>
      <color rgb="FF000000"/>
      <name val="Arial MT"/>
      <family val="2"/>
      <charset val="1"/>
    </font>
    <font>
      <sz val="7"/>
      <name val="Arial MT"/>
      <family val="2"/>
      <charset val="1"/>
    </font>
    <font>
      <sz val="7"/>
      <name val="Arial M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5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top" textRotation="0" wrapText="false" indent="2" shrinkToFit="tru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6" fontId="5" fillId="0" borderId="0" xfId="0" applyFont="true" applyBorder="true" applyAlignment="true" applyProtection="false">
      <alignment horizontal="right" vertical="top" textRotation="0" wrapText="false" indent="2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true" showRowColHeaders="true" showZeros="true" rightToLeft="false" tabSelected="true" showOutlineSymbols="true" defaultGridColor="true" view="normal" topLeftCell="A70" colorId="64" zoomScale="110" zoomScaleNormal="110" zoomScalePageLayoutView="100" workbookViewId="0">
      <selection pane="topLeft" activeCell="G3" activeCellId="0" sqref="G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69"/>
    <col collapsed="false" customWidth="true" hidden="false" outlineLevel="0" max="2" min="2" style="1" width="40.44"/>
    <col collapsed="false" customWidth="true" hidden="false" outlineLevel="0" max="3" min="3" style="1" width="20.05"/>
    <col collapsed="false" customWidth="true" hidden="false" outlineLevel="0" max="4" min="4" style="1" width="15.65"/>
    <col collapsed="false" customWidth="true" hidden="false" outlineLevel="0" max="5" min="5" style="1" width="10.19"/>
    <col collapsed="false" customWidth="true" hidden="false" outlineLevel="0" max="6" min="6" style="1" width="13.55"/>
    <col collapsed="false" customWidth="true" hidden="false" outlineLevel="0" max="7" min="7" style="1" width="18.34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3" t="n">
        <v>3001240</v>
      </c>
      <c r="B2" s="4" t="s">
        <v>7</v>
      </c>
      <c r="C2" s="1" t="s">
        <v>8</v>
      </c>
      <c r="F2" s="5" t="n">
        <v>2500</v>
      </c>
      <c r="G2" s="6" t="n">
        <v>1.37925</v>
      </c>
      <c r="H2" s="1" t="str">
        <f aca="false">IF(RIGHT(B2,2)="UN",RIGHT(B2,3),"")</f>
        <v>4UN</v>
      </c>
      <c r="I2" s="1" t="str">
        <f aca="false">LEFT(H2,1)</f>
        <v>4</v>
      </c>
    </row>
    <row r="3" customFormat="false" ht="12.8" hidden="false" customHeight="false" outlineLevel="0" collapsed="false">
      <c r="A3" s="7" t="n">
        <v>2971601</v>
      </c>
      <c r="B3" s="8" t="s">
        <v>9</v>
      </c>
      <c r="C3" s="1" t="s">
        <v>8</v>
      </c>
      <c r="F3" s="9" t="n">
        <v>125</v>
      </c>
      <c r="G3" s="10" t="n">
        <v>0.5652</v>
      </c>
      <c r="H3" s="1" t="str">
        <f aca="false">IF(RIGHT(B3,2)="UN",RIGHT(B3,3),"")</f>
        <v>8UN</v>
      </c>
      <c r="I3" s="1" t="str">
        <f aca="false">LEFT(H3,1)</f>
        <v>8</v>
      </c>
    </row>
    <row r="4" customFormat="false" ht="12.8" hidden="false" customHeight="false" outlineLevel="0" collapsed="false">
      <c r="A4" s="7" t="n">
        <v>3001230</v>
      </c>
      <c r="B4" s="8" t="s">
        <v>10</v>
      </c>
      <c r="C4" s="1" t="s">
        <v>8</v>
      </c>
      <c r="F4" s="9" t="n">
        <v>250</v>
      </c>
      <c r="G4" s="10" t="n">
        <v>1.02295</v>
      </c>
      <c r="H4" s="1" t="str">
        <f aca="false">IF(RIGHT(B4,2)="UN",RIGHT(B4,3),"")</f>
        <v>4UN</v>
      </c>
      <c r="I4" s="1" t="str">
        <f aca="false">LEFT(H4,1)</f>
        <v>4</v>
      </c>
    </row>
    <row r="5" customFormat="false" ht="12.8" hidden="false" customHeight="false" outlineLevel="0" collapsed="false">
      <c r="A5" s="7" t="n">
        <v>3001231</v>
      </c>
      <c r="B5" s="8" t="s">
        <v>11</v>
      </c>
      <c r="C5" s="1" t="s">
        <v>8</v>
      </c>
      <c r="F5" s="9" t="n">
        <v>350</v>
      </c>
      <c r="G5" s="10" t="n">
        <v>1.107225</v>
      </c>
      <c r="H5" s="1" t="str">
        <f aca="false">IF(RIGHT(B5,2)="UN",RIGHT(B5,3),"")</f>
        <v>4UN</v>
      </c>
      <c r="I5" s="1" t="str">
        <f aca="false">LEFT(H5,1)</f>
        <v>4</v>
      </c>
    </row>
    <row r="6" customFormat="false" ht="12.8" hidden="false" customHeight="false" outlineLevel="0" collapsed="false">
      <c r="A6" s="7" t="n">
        <v>2901221</v>
      </c>
      <c r="B6" s="8" t="s">
        <v>12</v>
      </c>
      <c r="C6" s="1" t="s">
        <v>8</v>
      </c>
      <c r="F6" s="9" t="n">
        <v>625</v>
      </c>
      <c r="G6" s="10" t="n">
        <v>0.6364625</v>
      </c>
      <c r="H6" s="1" t="str">
        <f aca="false">IF(RIGHT(B6,2)="UN",RIGHT(B6,3),"")</f>
        <v>8UN</v>
      </c>
      <c r="I6" s="1" t="str">
        <f aca="false">LEFT(H6,1)</f>
        <v>8</v>
      </c>
    </row>
    <row r="7" customFormat="false" ht="12.8" hidden="false" customHeight="false" outlineLevel="0" collapsed="false">
      <c r="A7" s="7" t="n">
        <v>2901201</v>
      </c>
      <c r="B7" s="8" t="s">
        <v>13</v>
      </c>
      <c r="C7" s="1" t="s">
        <v>8</v>
      </c>
      <c r="F7" s="9" t="n">
        <v>200</v>
      </c>
      <c r="G7" s="10" t="n">
        <v>2.025725</v>
      </c>
      <c r="H7" s="1" t="str">
        <f aca="false">IF(RIGHT(B7,2)="UN",RIGHT(B7,3),"")</f>
        <v>4UN</v>
      </c>
      <c r="I7" s="1" t="str">
        <f aca="false">LEFT(H7,1)</f>
        <v>4</v>
      </c>
    </row>
    <row r="8" customFormat="false" ht="12.8" hidden="false" customHeight="false" outlineLevel="0" collapsed="false">
      <c r="A8" s="7" t="n">
        <v>2901421</v>
      </c>
      <c r="B8" s="8" t="s">
        <v>14</v>
      </c>
      <c r="C8" s="1" t="s">
        <v>8</v>
      </c>
      <c r="F8" s="9" t="n">
        <v>25</v>
      </c>
      <c r="G8" s="10" t="n">
        <v>2.5862</v>
      </c>
      <c r="H8" s="1" t="str">
        <f aca="false">IF(RIGHT(B8,2)="UN",RIGHT(B8,3),"")</f>
        <v>4UN</v>
      </c>
      <c r="I8" s="1" t="str">
        <f aca="false">LEFT(H8,1)</f>
        <v>4</v>
      </c>
    </row>
    <row r="9" customFormat="false" ht="12.8" hidden="false" customHeight="false" outlineLevel="0" collapsed="false">
      <c r="A9" s="7" t="n">
        <v>3001266</v>
      </c>
      <c r="B9" s="8" t="s">
        <v>15</v>
      </c>
      <c r="C9" s="1" t="s">
        <v>8</v>
      </c>
      <c r="F9" s="9" t="n">
        <v>500</v>
      </c>
      <c r="G9" s="10" t="n">
        <v>0.97595</v>
      </c>
      <c r="H9" s="1" t="str">
        <f aca="false">IF(RIGHT(B9,2)="UN",RIGHT(B9,3),"")</f>
        <v>4UN</v>
      </c>
      <c r="I9" s="1" t="str">
        <f aca="false">LEFT(H9,1)</f>
        <v>4</v>
      </c>
    </row>
    <row r="10" customFormat="false" ht="12.8" hidden="false" customHeight="false" outlineLevel="0" collapsed="false">
      <c r="A10" s="7" t="n">
        <v>2911802</v>
      </c>
      <c r="B10" s="8" t="s">
        <v>16</v>
      </c>
      <c r="C10" s="1" t="s">
        <v>8</v>
      </c>
      <c r="F10" s="9" t="n">
        <v>50</v>
      </c>
      <c r="G10" s="10" t="n">
        <v>2.3125</v>
      </c>
      <c r="H10" s="1" t="str">
        <f aca="false">IF(RIGHT(B10,2)="UN",RIGHT(B10,3),"")</f>
        <v/>
      </c>
      <c r="I10" s="1" t="str">
        <f aca="false">LEFT(H10,1)</f>
        <v/>
      </c>
    </row>
    <row r="11" customFormat="false" ht="12.8" hidden="false" customHeight="false" outlineLevel="0" collapsed="false">
      <c r="A11" s="7" t="n">
        <v>3050801</v>
      </c>
      <c r="B11" s="8" t="s">
        <v>17</v>
      </c>
      <c r="C11" s="1" t="s">
        <v>8</v>
      </c>
      <c r="F11" s="9" t="n">
        <v>510</v>
      </c>
      <c r="G11" s="10" t="n">
        <v>1.7832</v>
      </c>
      <c r="H11" s="1" t="str">
        <f aca="false">IF(RIGHT(B11,2)="UN",RIGHT(B11,3),"")</f>
        <v/>
      </c>
      <c r="I11" s="1" t="str">
        <f aca="false">LEFT(H11,1)</f>
        <v/>
      </c>
    </row>
    <row r="12" customFormat="false" ht="12.8" hidden="false" customHeight="false" outlineLevel="0" collapsed="false">
      <c r="A12" s="7" t="n">
        <v>3050802</v>
      </c>
      <c r="B12" s="8" t="s">
        <v>18</v>
      </c>
      <c r="C12" s="1" t="s">
        <v>8</v>
      </c>
      <c r="F12" s="9" t="n">
        <v>210</v>
      </c>
      <c r="G12" s="10" t="n">
        <v>1.7832</v>
      </c>
      <c r="H12" s="1" t="str">
        <f aca="false">IF(RIGHT(B12,2)="UN",RIGHT(B12,3),"")</f>
        <v/>
      </c>
      <c r="I12" s="1" t="str">
        <f aca="false">LEFT(H12,1)</f>
        <v/>
      </c>
    </row>
    <row r="13" customFormat="false" ht="12.8" hidden="false" customHeight="false" outlineLevel="0" collapsed="false">
      <c r="A13" s="7" t="n">
        <v>3001821</v>
      </c>
      <c r="B13" s="8" t="s">
        <v>19</v>
      </c>
      <c r="C13" s="1" t="s">
        <v>8</v>
      </c>
      <c r="F13" s="9" t="n">
        <v>25</v>
      </c>
      <c r="G13" s="10" t="n">
        <v>2.9645</v>
      </c>
      <c r="H13" s="1" t="str">
        <f aca="false">IF(RIGHT(B13,2)="UN",RIGHT(B13,3),"")</f>
        <v/>
      </c>
      <c r="I13" s="1" t="str">
        <f aca="false">LEFT(H13,1)</f>
        <v/>
      </c>
    </row>
    <row r="14" customFormat="false" ht="12.8" hidden="false" customHeight="false" outlineLevel="0" collapsed="false">
      <c r="A14" s="7" t="n">
        <v>3001219</v>
      </c>
      <c r="B14" s="8" t="s">
        <v>20</v>
      </c>
      <c r="C14" s="1" t="s">
        <v>8</v>
      </c>
      <c r="F14" s="9" t="n">
        <v>1000</v>
      </c>
      <c r="G14" s="10" t="n">
        <v>0.9112</v>
      </c>
      <c r="H14" s="1" t="str">
        <f aca="false">IF(RIGHT(B14,2)="UN",RIGHT(B14,3),"")</f>
        <v>4UN</v>
      </c>
      <c r="I14" s="1" t="str">
        <f aca="false">LEFT(H14,1)</f>
        <v>4</v>
      </c>
    </row>
    <row r="15" customFormat="false" ht="12.8" hidden="false" customHeight="false" outlineLevel="0" collapsed="false">
      <c r="A15" s="7" t="n">
        <v>3001220</v>
      </c>
      <c r="B15" s="8" t="s">
        <v>21</v>
      </c>
      <c r="C15" s="1" t="s">
        <v>8</v>
      </c>
      <c r="F15" s="9" t="n">
        <v>250</v>
      </c>
      <c r="G15" s="10" t="n">
        <v>1.136925</v>
      </c>
      <c r="H15" s="1" t="str">
        <f aca="false">IF(RIGHT(B15,2)="UN",RIGHT(B15,3),"")</f>
        <v>4UN</v>
      </c>
      <c r="I15" s="1" t="str">
        <f aca="false">LEFT(H15,1)</f>
        <v>4</v>
      </c>
    </row>
    <row r="16" customFormat="false" ht="12.8" hidden="false" customHeight="false" outlineLevel="0" collapsed="false">
      <c r="A16" s="7" t="n">
        <v>3001402</v>
      </c>
      <c r="B16" s="8" t="s">
        <v>22</v>
      </c>
      <c r="C16" s="1" t="s">
        <v>8</v>
      </c>
      <c r="F16" s="9" t="n">
        <v>500</v>
      </c>
      <c r="G16" s="10" t="n">
        <v>1.2999</v>
      </c>
      <c r="H16" s="1" t="str">
        <f aca="false">IF(RIGHT(B16,2)="UN",RIGHT(B16,3),"")</f>
        <v>4UN</v>
      </c>
      <c r="I16" s="1" t="str">
        <f aca="false">LEFT(H16,1)</f>
        <v>4</v>
      </c>
    </row>
    <row r="17" customFormat="false" ht="12.8" hidden="false" customHeight="false" outlineLevel="0" collapsed="false">
      <c r="A17" s="7" t="n">
        <v>3001268</v>
      </c>
      <c r="B17" s="8" t="s">
        <v>23</v>
      </c>
      <c r="C17" s="1" t="s">
        <v>8</v>
      </c>
      <c r="F17" s="9" t="n">
        <v>750</v>
      </c>
      <c r="G17" s="10" t="n">
        <v>1.532325</v>
      </c>
      <c r="H17" s="1" t="str">
        <f aca="false">IF(RIGHT(B17,2)="UN",RIGHT(B17,3),"")</f>
        <v>4UN</v>
      </c>
      <c r="I17" s="1" t="str">
        <f aca="false">LEFT(H17,1)</f>
        <v>4</v>
      </c>
    </row>
    <row r="18" customFormat="false" ht="12.8" hidden="false" customHeight="false" outlineLevel="0" collapsed="false">
      <c r="A18" s="7" t="n">
        <v>2910260</v>
      </c>
      <c r="B18" s="8" t="s">
        <v>24</v>
      </c>
      <c r="C18" s="1" t="s">
        <v>8</v>
      </c>
      <c r="F18" s="9" t="n">
        <v>25</v>
      </c>
      <c r="G18" s="10" t="n">
        <v>3.1654</v>
      </c>
      <c r="H18" s="1" t="str">
        <f aca="false">IF(RIGHT(B18,2)="UN",RIGHT(B18,3),"")</f>
        <v>4UN</v>
      </c>
      <c r="I18" s="1" t="str">
        <f aca="false">LEFT(H18,1)</f>
        <v>4</v>
      </c>
    </row>
    <row r="19" customFormat="false" ht="12.8" hidden="false" customHeight="false" outlineLevel="0" collapsed="false">
      <c r="A19" s="7" t="n">
        <v>3001282</v>
      </c>
      <c r="B19" s="8" t="s">
        <v>25</v>
      </c>
      <c r="C19" s="1" t="s">
        <v>8</v>
      </c>
      <c r="F19" s="9" t="n">
        <v>150</v>
      </c>
      <c r="G19" s="10" t="n">
        <v>1.343525</v>
      </c>
      <c r="H19" s="1" t="str">
        <f aca="false">IF(RIGHT(B19,2)="UN",RIGHT(B19,3),"")</f>
        <v>4UN</v>
      </c>
      <c r="I19" s="1" t="str">
        <f aca="false">LEFT(H19,1)</f>
        <v>4</v>
      </c>
    </row>
    <row r="20" customFormat="false" ht="12.8" hidden="false" customHeight="false" outlineLevel="0" collapsed="false">
      <c r="A20" s="7" t="n">
        <v>2950801</v>
      </c>
      <c r="B20" s="8" t="s">
        <v>26</v>
      </c>
      <c r="C20" s="1" t="s">
        <v>8</v>
      </c>
      <c r="F20" s="9" t="n">
        <v>100</v>
      </c>
      <c r="G20" s="10" t="n">
        <v>1.143</v>
      </c>
      <c r="H20" s="1" t="str">
        <f aca="false">IF(RIGHT(B20,2)="UN",RIGHT(B20,3),"")</f>
        <v/>
      </c>
      <c r="I20" s="1" t="str">
        <f aca="false">LEFT(H20,1)</f>
        <v/>
      </c>
    </row>
    <row r="21" customFormat="false" ht="12.8" hidden="false" customHeight="false" outlineLevel="0" collapsed="false">
      <c r="A21" s="7" t="n">
        <v>2950802</v>
      </c>
      <c r="B21" s="8" t="s">
        <v>27</v>
      </c>
      <c r="C21" s="1" t="s">
        <v>8</v>
      </c>
      <c r="F21" s="9" t="n">
        <v>100</v>
      </c>
      <c r="G21" s="10" t="n">
        <v>1.143</v>
      </c>
      <c r="H21" s="1" t="str">
        <f aca="false">IF(RIGHT(B21,2)="UN",RIGHT(B21,3),"")</f>
        <v/>
      </c>
      <c r="I21" s="1" t="str">
        <f aca="false">LEFT(H21,1)</f>
        <v/>
      </c>
    </row>
    <row r="22" customFormat="false" ht="12.8" hidden="false" customHeight="false" outlineLevel="0" collapsed="false">
      <c r="A22" s="3" t="n">
        <v>6110401</v>
      </c>
      <c r="B22" s="4" t="s">
        <v>28</v>
      </c>
      <c r="C22" s="1" t="s">
        <v>8</v>
      </c>
      <c r="D22" s="11"/>
      <c r="F22" s="5" t="n">
        <v>500</v>
      </c>
      <c r="G22" s="12" t="n">
        <v>0.1155</v>
      </c>
    </row>
    <row r="23" customFormat="false" ht="12.8" hidden="false" customHeight="false" outlineLevel="0" collapsed="false">
      <c r="A23" s="7" t="n">
        <v>6410408</v>
      </c>
      <c r="B23" s="8" t="s">
        <v>29</v>
      </c>
      <c r="C23" s="1" t="s">
        <v>8</v>
      </c>
      <c r="D23" s="13"/>
      <c r="F23" s="9" t="n">
        <v>100</v>
      </c>
      <c r="G23" s="12" t="n">
        <v>0.2537</v>
      </c>
    </row>
    <row r="24" customFormat="false" ht="12.8" hidden="false" customHeight="false" outlineLevel="0" collapsed="false">
      <c r="A24" s="7" t="n">
        <v>6151601</v>
      </c>
      <c r="B24" s="8" t="s">
        <v>30</v>
      </c>
      <c r="C24" s="1" t="s">
        <v>8</v>
      </c>
      <c r="D24" s="13"/>
      <c r="F24" s="9" t="n">
        <v>100</v>
      </c>
      <c r="G24" s="12" t="n">
        <v>0.1575</v>
      </c>
    </row>
    <row r="25" customFormat="false" ht="12.8" hidden="false" customHeight="false" outlineLevel="0" collapsed="false">
      <c r="A25" s="7" t="n">
        <v>6130806</v>
      </c>
      <c r="B25" s="8" t="s">
        <v>31</v>
      </c>
      <c r="C25" s="1" t="s">
        <v>8</v>
      </c>
      <c r="D25" s="13"/>
      <c r="F25" s="9" t="n">
        <v>200</v>
      </c>
      <c r="G25" s="12" t="n">
        <v>0.308</v>
      </c>
    </row>
    <row r="26" customFormat="false" ht="12.8" hidden="false" customHeight="false" outlineLevel="0" collapsed="false">
      <c r="A26" s="7" t="n">
        <v>6310207</v>
      </c>
      <c r="B26" s="8" t="s">
        <v>32</v>
      </c>
      <c r="C26" s="1" t="s">
        <v>8</v>
      </c>
      <c r="D26" s="13"/>
      <c r="F26" s="9" t="n">
        <v>100</v>
      </c>
      <c r="G26" s="12" t="n">
        <v>1.3025</v>
      </c>
    </row>
    <row r="27" customFormat="false" ht="12.8" hidden="false" customHeight="false" outlineLevel="0" collapsed="false">
      <c r="A27" s="7" t="n">
        <v>6310208</v>
      </c>
      <c r="B27" s="8" t="s">
        <v>33</v>
      </c>
      <c r="C27" s="1" t="s">
        <v>8</v>
      </c>
      <c r="D27" s="13"/>
      <c r="F27" s="9" t="n">
        <v>100</v>
      </c>
      <c r="G27" s="12" t="n">
        <v>2.1739</v>
      </c>
    </row>
    <row r="28" customFormat="false" ht="12.8" hidden="false" customHeight="false" outlineLevel="0" collapsed="false">
      <c r="A28" s="7" t="n">
        <v>6150803</v>
      </c>
      <c r="B28" s="8" t="s">
        <v>34</v>
      </c>
      <c r="C28" s="1" t="s">
        <v>8</v>
      </c>
      <c r="D28" s="13"/>
      <c r="F28" s="9" t="n">
        <v>100</v>
      </c>
      <c r="G28" s="12" t="n">
        <v>1.1312</v>
      </c>
    </row>
    <row r="29" customFormat="false" ht="12.8" hidden="false" customHeight="false" outlineLevel="0" collapsed="false">
      <c r="A29" s="7" t="n">
        <v>6150805</v>
      </c>
      <c r="B29" s="8" t="s">
        <v>35</v>
      </c>
      <c r="C29" s="1" t="s">
        <v>8</v>
      </c>
      <c r="D29" s="13"/>
      <c r="F29" s="9" t="n">
        <v>100</v>
      </c>
      <c r="G29" s="12" t="n">
        <v>1.8475</v>
      </c>
    </row>
    <row r="30" customFormat="false" ht="12.8" hidden="false" customHeight="false" outlineLevel="0" collapsed="false">
      <c r="A30" s="7" t="n">
        <v>6450811</v>
      </c>
      <c r="B30" s="8" t="s">
        <v>36</v>
      </c>
      <c r="C30" s="1" t="s">
        <v>8</v>
      </c>
      <c r="D30" s="13"/>
      <c r="F30" s="9" t="n">
        <v>100</v>
      </c>
      <c r="G30" s="12" t="n">
        <v>3.1998</v>
      </c>
    </row>
    <row r="31" customFormat="false" ht="12.8" hidden="false" customHeight="false" outlineLevel="0" collapsed="false">
      <c r="A31" s="7" t="n">
        <v>6330409</v>
      </c>
      <c r="B31" s="8" t="s">
        <v>37</v>
      </c>
      <c r="C31" s="1" t="s">
        <v>8</v>
      </c>
      <c r="D31" s="13"/>
      <c r="F31" s="9" t="n">
        <v>100</v>
      </c>
      <c r="G31" s="12" t="n">
        <v>4.3581</v>
      </c>
    </row>
    <row r="32" customFormat="false" ht="12.8" hidden="false" customHeight="false" outlineLevel="0" collapsed="false">
      <c r="A32" s="7" t="n">
        <v>6151659</v>
      </c>
      <c r="B32" s="8" t="s">
        <v>38</v>
      </c>
      <c r="C32" s="1" t="s">
        <v>8</v>
      </c>
      <c r="D32" s="13"/>
      <c r="F32" s="9" t="n">
        <v>200</v>
      </c>
      <c r="G32" s="12" t="n">
        <v>0.2942</v>
      </c>
    </row>
    <row r="33" customFormat="false" ht="12.8" hidden="false" customHeight="false" outlineLevel="0" collapsed="false">
      <c r="A33" s="7" t="n">
        <v>6171657</v>
      </c>
      <c r="B33" s="8" t="s">
        <v>39</v>
      </c>
      <c r="C33" s="1" t="s">
        <v>8</v>
      </c>
      <c r="D33" s="13"/>
      <c r="F33" s="9" t="n">
        <v>100</v>
      </c>
      <c r="G33" s="12" t="n">
        <v>0.4577</v>
      </c>
    </row>
    <row r="34" customFormat="false" ht="12.8" hidden="false" customHeight="false" outlineLevel="0" collapsed="false">
      <c r="A34" s="7" t="n">
        <v>6000804</v>
      </c>
      <c r="B34" s="8" t="s">
        <v>40</v>
      </c>
      <c r="C34" s="1" t="s">
        <v>8</v>
      </c>
      <c r="D34" s="13"/>
      <c r="F34" s="9" t="n">
        <v>100</v>
      </c>
      <c r="G34" s="12" t="n">
        <v>0.1136</v>
      </c>
    </row>
    <row r="35" customFormat="false" ht="12.8" hidden="false" customHeight="false" outlineLevel="0" collapsed="false">
      <c r="A35" s="7" t="n">
        <v>6100603</v>
      </c>
      <c r="B35" s="8" t="s">
        <v>41</v>
      </c>
      <c r="C35" s="1" t="s">
        <v>8</v>
      </c>
      <c r="D35" s="13"/>
      <c r="F35" s="9" t="n">
        <v>500</v>
      </c>
      <c r="G35" s="12" t="n">
        <v>0.1082</v>
      </c>
    </row>
    <row r="36" customFormat="false" ht="12.8" hidden="false" customHeight="false" outlineLevel="0" collapsed="false">
      <c r="A36" s="7" t="n">
        <v>6100605</v>
      </c>
      <c r="B36" s="8" t="s">
        <v>42</v>
      </c>
      <c r="C36" s="1" t="s">
        <v>8</v>
      </c>
      <c r="D36" s="13"/>
      <c r="F36" s="9" t="n">
        <v>100</v>
      </c>
      <c r="G36" s="12" t="n">
        <v>0.1239</v>
      </c>
    </row>
    <row r="37" customFormat="false" ht="12.8" hidden="false" customHeight="false" outlineLevel="0" collapsed="false">
      <c r="A37" s="7" t="n">
        <v>6100610</v>
      </c>
      <c r="B37" s="8" t="s">
        <v>43</v>
      </c>
      <c r="C37" s="1" t="s">
        <v>8</v>
      </c>
      <c r="D37" s="13"/>
      <c r="F37" s="9" t="n">
        <v>100</v>
      </c>
      <c r="G37" s="12" t="n">
        <v>0.2244</v>
      </c>
    </row>
    <row r="38" customFormat="false" ht="12.8" hidden="false" customHeight="false" outlineLevel="0" collapsed="false">
      <c r="A38" s="7" t="n">
        <v>6100802</v>
      </c>
      <c r="B38" s="8" t="s">
        <v>44</v>
      </c>
      <c r="C38" s="1" t="s">
        <v>8</v>
      </c>
      <c r="D38" s="13"/>
      <c r="F38" s="9" t="n">
        <v>100</v>
      </c>
      <c r="G38" s="12" t="n">
        <v>0.2301</v>
      </c>
    </row>
    <row r="39" customFormat="false" ht="12.8" hidden="false" customHeight="false" outlineLevel="0" collapsed="false">
      <c r="A39" s="7" t="n">
        <v>6100803</v>
      </c>
      <c r="B39" s="8" t="s">
        <v>45</v>
      </c>
      <c r="C39" s="1" t="s">
        <v>8</v>
      </c>
      <c r="D39" s="13"/>
      <c r="F39" s="9" t="n">
        <v>100</v>
      </c>
      <c r="G39" s="12" t="n">
        <v>0.1907</v>
      </c>
    </row>
    <row r="40" customFormat="false" ht="12.8" hidden="false" customHeight="false" outlineLevel="0" collapsed="false">
      <c r="A40" s="7" t="n">
        <v>6100804</v>
      </c>
      <c r="B40" s="8" t="s">
        <v>46</v>
      </c>
      <c r="C40" s="1" t="s">
        <v>8</v>
      </c>
      <c r="D40" s="13"/>
      <c r="F40" s="9" t="n">
        <v>100</v>
      </c>
      <c r="G40" s="12" t="n">
        <v>0.2024</v>
      </c>
    </row>
    <row r="41" customFormat="false" ht="12.8" hidden="false" customHeight="false" outlineLevel="0" collapsed="false">
      <c r="A41" s="7" t="n">
        <v>6100805</v>
      </c>
      <c r="B41" s="8" t="s">
        <v>47</v>
      </c>
      <c r="C41" s="1" t="s">
        <v>8</v>
      </c>
      <c r="D41" s="13"/>
      <c r="F41" s="9" t="n">
        <v>100</v>
      </c>
      <c r="G41" s="12" t="n">
        <v>0.2206</v>
      </c>
    </row>
    <row r="42" customFormat="false" ht="12.8" hidden="false" customHeight="false" outlineLevel="0" collapsed="false">
      <c r="A42" s="7" t="n">
        <v>6100806</v>
      </c>
      <c r="B42" s="8" t="s">
        <v>48</v>
      </c>
      <c r="C42" s="1" t="s">
        <v>8</v>
      </c>
      <c r="D42" s="13"/>
      <c r="F42" s="9" t="n">
        <v>100</v>
      </c>
      <c r="G42" s="12" t="n">
        <v>0.2376</v>
      </c>
    </row>
    <row r="43" customFormat="false" ht="12.8" hidden="false" customHeight="false" outlineLevel="0" collapsed="false">
      <c r="A43" s="7" t="n">
        <v>6100809</v>
      </c>
      <c r="B43" s="8" t="s">
        <v>49</v>
      </c>
      <c r="C43" s="1" t="s">
        <v>8</v>
      </c>
      <c r="D43" s="13"/>
      <c r="F43" s="9" t="n">
        <v>200</v>
      </c>
      <c r="G43" s="12" t="n">
        <v>0.2928</v>
      </c>
    </row>
    <row r="44" customFormat="false" ht="12.8" hidden="false" customHeight="false" outlineLevel="0" collapsed="false">
      <c r="A44" s="7" t="n">
        <v>6400808</v>
      </c>
      <c r="B44" s="8" t="s">
        <v>50</v>
      </c>
      <c r="C44" s="1" t="s">
        <v>8</v>
      </c>
      <c r="D44" s="13"/>
      <c r="F44" s="9" t="n">
        <v>100</v>
      </c>
      <c r="G44" s="12" t="n">
        <v>0.646</v>
      </c>
    </row>
    <row r="45" customFormat="false" ht="12.8" hidden="false" customHeight="false" outlineLevel="0" collapsed="false">
      <c r="A45" s="7" t="n">
        <v>6101004</v>
      </c>
      <c r="B45" s="8" t="s">
        <v>51</v>
      </c>
      <c r="C45" s="1" t="s">
        <v>8</v>
      </c>
      <c r="D45" s="13"/>
      <c r="F45" s="9" t="n">
        <v>100</v>
      </c>
      <c r="G45" s="12" t="n">
        <v>0.5368</v>
      </c>
    </row>
    <row r="46" customFormat="false" ht="12.8" hidden="false" customHeight="false" outlineLevel="0" collapsed="false">
      <c r="A46" s="7" t="n">
        <v>6101006</v>
      </c>
      <c r="B46" s="8" t="s">
        <v>52</v>
      </c>
      <c r="C46" s="1" t="s">
        <v>8</v>
      </c>
      <c r="D46" s="13"/>
      <c r="F46" s="9" t="n">
        <v>100</v>
      </c>
      <c r="G46" s="12" t="n">
        <v>0.64</v>
      </c>
    </row>
    <row r="47" customFormat="false" ht="12.8" hidden="false" customHeight="false" outlineLevel="0" collapsed="false">
      <c r="A47" s="7" t="n">
        <v>6101007</v>
      </c>
      <c r="B47" s="8" t="s">
        <v>53</v>
      </c>
      <c r="C47" s="1" t="s">
        <v>8</v>
      </c>
      <c r="D47" s="13"/>
      <c r="F47" s="9" t="n">
        <v>100</v>
      </c>
      <c r="G47" s="12" t="n">
        <v>0.5849</v>
      </c>
    </row>
    <row r="48" customFormat="false" ht="12.8" hidden="false" customHeight="false" outlineLevel="0" collapsed="false">
      <c r="A48" s="7" t="n">
        <v>6101008</v>
      </c>
      <c r="B48" s="8" t="s">
        <v>54</v>
      </c>
      <c r="C48" s="1" t="s">
        <v>8</v>
      </c>
      <c r="D48" s="13"/>
      <c r="F48" s="9" t="n">
        <v>100</v>
      </c>
      <c r="G48" s="12" t="n">
        <v>0.4917</v>
      </c>
    </row>
    <row r="49" customFormat="false" ht="12.8" hidden="false" customHeight="false" outlineLevel="0" collapsed="false">
      <c r="A49" s="7" t="n">
        <v>6101010</v>
      </c>
      <c r="B49" s="8" t="s">
        <v>55</v>
      </c>
      <c r="C49" s="1" t="s">
        <v>8</v>
      </c>
      <c r="D49" s="13"/>
      <c r="F49" s="9" t="n">
        <v>100</v>
      </c>
      <c r="G49" s="12" t="n">
        <v>1.0606</v>
      </c>
    </row>
    <row r="50" customFormat="false" ht="12.8" hidden="false" customHeight="false" outlineLevel="0" collapsed="false">
      <c r="A50" s="7" t="n">
        <v>6401009</v>
      </c>
      <c r="B50" s="8" t="s">
        <v>56</v>
      </c>
      <c r="C50" s="1" t="s">
        <v>8</v>
      </c>
      <c r="D50" s="13"/>
      <c r="F50" s="9" t="n">
        <v>100</v>
      </c>
      <c r="G50" s="12" t="n">
        <v>1.0567</v>
      </c>
    </row>
    <row r="51" customFormat="false" ht="12.8" hidden="false" customHeight="false" outlineLevel="0" collapsed="false">
      <c r="A51" s="7" t="n">
        <v>6101202</v>
      </c>
      <c r="B51" s="8" t="s">
        <v>57</v>
      </c>
      <c r="C51" s="1" t="s">
        <v>8</v>
      </c>
      <c r="D51" s="13"/>
      <c r="F51" s="9" t="n">
        <v>100</v>
      </c>
      <c r="G51" s="12" t="n">
        <v>0.7047</v>
      </c>
    </row>
    <row r="52" customFormat="false" ht="12.8" hidden="false" customHeight="false" outlineLevel="0" collapsed="false">
      <c r="A52" s="3" t="n">
        <v>6101206</v>
      </c>
      <c r="B52" s="14" t="s">
        <v>58</v>
      </c>
      <c r="C52" s="1" t="s">
        <v>8</v>
      </c>
      <c r="F52" s="5" t="n">
        <v>100</v>
      </c>
      <c r="G52" s="6" t="n">
        <v>0.6186</v>
      </c>
    </row>
    <row r="53" customFormat="false" ht="12.8" hidden="false" customHeight="false" outlineLevel="0" collapsed="false">
      <c r="A53" s="7" t="n">
        <v>6101251</v>
      </c>
      <c r="B53" s="15" t="s">
        <v>59</v>
      </c>
      <c r="C53" s="1" t="s">
        <v>8</v>
      </c>
      <c r="F53" s="9" t="n">
        <v>200</v>
      </c>
      <c r="G53" s="10" t="n">
        <v>0.4178</v>
      </c>
    </row>
    <row r="54" customFormat="false" ht="12.8" hidden="false" customHeight="false" outlineLevel="0" collapsed="false">
      <c r="A54" s="7" t="n">
        <v>6101254</v>
      </c>
      <c r="B54" s="15" t="s">
        <v>60</v>
      </c>
      <c r="C54" s="1" t="s">
        <v>8</v>
      </c>
      <c r="F54" s="9" t="n">
        <v>100</v>
      </c>
      <c r="G54" s="10" t="n">
        <v>0.4394</v>
      </c>
    </row>
    <row r="55" customFormat="false" ht="12.8" hidden="false" customHeight="false" outlineLevel="0" collapsed="false">
      <c r="A55" s="7" t="n">
        <v>6401250</v>
      </c>
      <c r="B55" s="15" t="s">
        <v>61</v>
      </c>
      <c r="C55" s="1" t="s">
        <v>8</v>
      </c>
      <c r="F55" s="9" t="n">
        <v>100</v>
      </c>
      <c r="G55" s="10" t="n">
        <v>1.0461</v>
      </c>
    </row>
    <row r="56" customFormat="false" ht="12.8" hidden="false" customHeight="false" outlineLevel="0" collapsed="false">
      <c r="A56" s="7" t="n">
        <v>6401458</v>
      </c>
      <c r="B56" s="15" t="s">
        <v>62</v>
      </c>
      <c r="C56" s="1" t="s">
        <v>8</v>
      </c>
      <c r="F56" s="9" t="n">
        <v>100</v>
      </c>
      <c r="G56" s="10" t="n">
        <v>2.3738</v>
      </c>
    </row>
    <row r="57" customFormat="false" ht="12.8" hidden="false" customHeight="false" outlineLevel="0" collapsed="false">
      <c r="A57" s="7" t="n">
        <v>5700604</v>
      </c>
      <c r="B57" s="15" t="s">
        <v>63</v>
      </c>
      <c r="C57" s="1" t="s">
        <v>8</v>
      </c>
      <c r="F57" s="9" t="n">
        <v>500</v>
      </c>
      <c r="G57" s="10" t="n">
        <v>0.2248</v>
      </c>
    </row>
    <row r="58" customFormat="false" ht="12.8" hidden="false" customHeight="false" outlineLevel="0" collapsed="false">
      <c r="A58" s="7" t="n">
        <v>5700605</v>
      </c>
      <c r="B58" s="15" t="s">
        <v>64</v>
      </c>
      <c r="C58" s="1" t="s">
        <v>8</v>
      </c>
      <c r="F58" s="9" t="n">
        <v>200</v>
      </c>
      <c r="G58" s="10" t="n">
        <v>0.1627</v>
      </c>
    </row>
    <row r="59" customFormat="false" ht="12.8" hidden="false" customHeight="false" outlineLevel="0" collapsed="false">
      <c r="A59" s="7" t="n">
        <v>3800607</v>
      </c>
      <c r="B59" s="15" t="s">
        <v>65</v>
      </c>
      <c r="C59" s="1" t="s">
        <v>8</v>
      </c>
      <c r="F59" s="9" t="n">
        <v>100</v>
      </c>
      <c r="G59" s="10" t="n">
        <v>0.054</v>
      </c>
    </row>
    <row r="60" customFormat="false" ht="12.8" hidden="false" customHeight="false" outlineLevel="0" collapsed="false">
      <c r="A60" s="7" t="n">
        <v>4610201</v>
      </c>
      <c r="B60" s="15" t="s">
        <v>66</v>
      </c>
      <c r="C60" s="1" t="s">
        <v>8</v>
      </c>
      <c r="F60" s="9" t="n">
        <v>100</v>
      </c>
      <c r="G60" s="10" t="n">
        <v>9.1717</v>
      </c>
    </row>
    <row r="61" customFormat="false" ht="12.8" hidden="false" customHeight="false" outlineLevel="0" collapsed="false">
      <c r="A61" s="7" t="n">
        <v>4630401</v>
      </c>
      <c r="B61" s="15" t="s">
        <v>67</v>
      </c>
      <c r="C61" s="1" t="s">
        <v>8</v>
      </c>
      <c r="F61" s="9" t="n">
        <v>100</v>
      </c>
      <c r="G61" s="10" t="n">
        <v>21.737</v>
      </c>
    </row>
    <row r="62" customFormat="false" ht="12.8" hidden="false" customHeight="false" outlineLevel="0" collapsed="false">
      <c r="A62" s="7" t="n">
        <v>4600801</v>
      </c>
      <c r="B62" s="15" t="s">
        <v>68</v>
      </c>
      <c r="C62" s="1" t="s">
        <v>8</v>
      </c>
      <c r="F62" s="9" t="n">
        <v>200</v>
      </c>
      <c r="G62" s="10" t="n">
        <v>3.6541</v>
      </c>
    </row>
    <row r="63" customFormat="false" ht="12.8" hidden="false" customHeight="false" outlineLevel="0" collapsed="false">
      <c r="A63" s="7" t="n">
        <v>6400802</v>
      </c>
      <c r="B63" s="15" t="s">
        <v>69</v>
      </c>
      <c r="C63" s="1" t="s">
        <v>8</v>
      </c>
      <c r="F63" s="9" t="n">
        <v>100</v>
      </c>
      <c r="G63" s="10" t="n">
        <v>0.27</v>
      </c>
    </row>
    <row r="64" customFormat="false" ht="12.8" hidden="false" customHeight="false" outlineLevel="0" collapsed="false">
      <c r="A64" s="7" t="n">
        <v>6401001</v>
      </c>
      <c r="B64" s="15" t="s">
        <v>70</v>
      </c>
      <c r="C64" s="1" t="s">
        <v>8</v>
      </c>
      <c r="F64" s="9" t="n">
        <v>100</v>
      </c>
      <c r="G64" s="10" t="n">
        <v>0.3282</v>
      </c>
    </row>
    <row r="65" customFormat="false" ht="12.8" hidden="false" customHeight="false" outlineLevel="0" collapsed="false">
      <c r="A65" s="7" t="n">
        <v>6401002</v>
      </c>
      <c r="B65" s="15" t="s">
        <v>71</v>
      </c>
      <c r="C65" s="1" t="s">
        <v>8</v>
      </c>
      <c r="F65" s="9" t="n">
        <v>100</v>
      </c>
      <c r="G65" s="10" t="n">
        <v>0.4242</v>
      </c>
    </row>
    <row r="66" customFormat="false" ht="12.8" hidden="false" customHeight="false" outlineLevel="0" collapsed="false">
      <c r="A66" s="7" t="n">
        <v>6400804</v>
      </c>
      <c r="B66" s="15" t="s">
        <v>72</v>
      </c>
      <c r="C66" s="1" t="s">
        <v>8</v>
      </c>
      <c r="F66" s="9" t="n">
        <v>200</v>
      </c>
      <c r="G66" s="10" t="n">
        <v>0.3651</v>
      </c>
    </row>
    <row r="67" customFormat="false" ht="12.8" hidden="false" customHeight="false" outlineLevel="0" collapsed="false">
      <c r="A67" s="7" t="n">
        <v>6700803</v>
      </c>
      <c r="B67" s="15" t="s">
        <v>73</v>
      </c>
      <c r="C67" s="1" t="s">
        <v>8</v>
      </c>
      <c r="F67" s="9" t="n">
        <v>100</v>
      </c>
      <c r="G67" s="10" t="n">
        <v>0.3301</v>
      </c>
    </row>
    <row r="68" customFormat="false" ht="12.8" hidden="false" customHeight="false" outlineLevel="0" collapsed="false">
      <c r="A68" s="7" t="n">
        <v>5451608</v>
      </c>
      <c r="B68" s="15" t="s">
        <v>74</v>
      </c>
      <c r="C68" s="1" t="s">
        <v>8</v>
      </c>
      <c r="F68" s="9" t="n">
        <v>100</v>
      </c>
      <c r="G68" s="10" t="n">
        <v>0.6656</v>
      </c>
    </row>
    <row r="69" customFormat="false" ht="12.8" hidden="false" customHeight="false" outlineLevel="0" collapsed="false">
      <c r="A69" s="7" t="n">
        <v>5101008</v>
      </c>
      <c r="B69" s="15" t="s">
        <v>75</v>
      </c>
      <c r="C69" s="1" t="s">
        <v>8</v>
      </c>
      <c r="F69" s="9" t="n">
        <v>100</v>
      </c>
      <c r="G69" s="10" t="n">
        <v>0.7856</v>
      </c>
    </row>
    <row r="70" customFormat="false" ht="12.8" hidden="false" customHeight="false" outlineLevel="0" collapsed="false">
      <c r="A70" s="7" t="n">
        <v>5401201</v>
      </c>
      <c r="B70" s="15" t="s">
        <v>76</v>
      </c>
      <c r="C70" s="1" t="s">
        <v>8</v>
      </c>
      <c r="F70" s="9" t="n">
        <v>100</v>
      </c>
      <c r="G70" s="10" t="n">
        <v>1.1198</v>
      </c>
    </row>
    <row r="71" customFormat="false" ht="12.8" hidden="false" customHeight="false" outlineLevel="0" collapsed="false">
      <c r="A71" s="7" t="n">
        <v>5100605</v>
      </c>
      <c r="B71" s="15" t="s">
        <v>77</v>
      </c>
      <c r="C71" s="1" t="s">
        <v>8</v>
      </c>
      <c r="F71" s="9" t="n">
        <v>100</v>
      </c>
      <c r="G71" s="10" t="n">
        <v>0.1423</v>
      </c>
    </row>
    <row r="72" customFormat="false" ht="12.8" hidden="false" customHeight="false" outlineLevel="0" collapsed="false">
      <c r="A72" s="7" t="n">
        <v>5100607</v>
      </c>
      <c r="B72" s="15" t="s">
        <v>78</v>
      </c>
      <c r="C72" s="1" t="s">
        <v>8</v>
      </c>
      <c r="F72" s="9" t="n">
        <v>100</v>
      </c>
      <c r="G72" s="10" t="n">
        <v>0.11</v>
      </c>
    </row>
    <row r="73" customFormat="false" ht="12.8" hidden="false" customHeight="false" outlineLevel="0" collapsed="false">
      <c r="A73" s="7" t="n">
        <v>5100802</v>
      </c>
      <c r="B73" s="15" t="s">
        <v>79</v>
      </c>
      <c r="C73" s="1" t="s">
        <v>8</v>
      </c>
      <c r="F73" s="9" t="n">
        <v>100</v>
      </c>
      <c r="G73" s="10" t="n">
        <v>0.2624</v>
      </c>
    </row>
    <row r="74" customFormat="false" ht="12.8" hidden="false" customHeight="false" outlineLevel="0" collapsed="false">
      <c r="A74" s="7" t="n">
        <v>5100804</v>
      </c>
      <c r="B74" s="15" t="s">
        <v>80</v>
      </c>
      <c r="C74" s="1" t="s">
        <v>8</v>
      </c>
      <c r="F74" s="9" t="n">
        <v>100</v>
      </c>
      <c r="G74" s="10" t="n">
        <v>0.2369</v>
      </c>
    </row>
    <row r="75" customFormat="false" ht="12.8" hidden="false" customHeight="false" outlineLevel="0" collapsed="false">
      <c r="A75" s="7" t="n">
        <v>5401009</v>
      </c>
      <c r="B75" s="15" t="s">
        <v>81</v>
      </c>
      <c r="C75" s="1" t="s">
        <v>8</v>
      </c>
      <c r="F75" s="9" t="n">
        <v>100</v>
      </c>
      <c r="G75" s="10" t="n">
        <v>1.2301</v>
      </c>
    </row>
    <row r="76" customFormat="false" ht="12.8" hidden="false" customHeight="false" outlineLevel="0" collapsed="false">
      <c r="A76" s="7" t="n">
        <v>5100806</v>
      </c>
      <c r="B76" s="15" t="s">
        <v>82</v>
      </c>
      <c r="C76" s="1" t="s">
        <v>8</v>
      </c>
      <c r="F76" s="9" t="n">
        <v>100</v>
      </c>
      <c r="G76" s="10" t="n">
        <v>0.2802</v>
      </c>
    </row>
    <row r="77" customFormat="false" ht="12.8" hidden="false" customHeight="false" outlineLevel="0" collapsed="false">
      <c r="A77" s="7" t="n">
        <v>5100807</v>
      </c>
      <c r="B77" s="15" t="s">
        <v>83</v>
      </c>
      <c r="C77" s="1" t="s">
        <v>8</v>
      </c>
      <c r="F77" s="9" t="n">
        <v>100</v>
      </c>
      <c r="G77" s="10" t="n">
        <v>0.2412</v>
      </c>
    </row>
    <row r="78" customFormat="false" ht="12.8" hidden="false" customHeight="false" outlineLevel="0" collapsed="false">
      <c r="A78" s="7" t="n">
        <v>5100809</v>
      </c>
      <c r="B78" s="15" t="s">
        <v>84</v>
      </c>
      <c r="C78" s="1" t="s">
        <v>8</v>
      </c>
      <c r="F78" s="9" t="n">
        <v>200</v>
      </c>
      <c r="G78" s="10" t="n">
        <v>0.2664</v>
      </c>
    </row>
    <row r="79" customFormat="false" ht="12.8" hidden="false" customHeight="false" outlineLevel="0" collapsed="false">
      <c r="A79" s="7" t="n">
        <v>5400808</v>
      </c>
      <c r="B79" s="15" t="s">
        <v>85</v>
      </c>
      <c r="C79" s="1" t="s">
        <v>8</v>
      </c>
      <c r="F79" s="9" t="n">
        <v>100</v>
      </c>
      <c r="G79" s="10" t="n">
        <v>0.7396</v>
      </c>
    </row>
    <row r="80" customFormat="false" ht="12.8" hidden="false" customHeight="false" outlineLevel="0" collapsed="false">
      <c r="A80" s="7" t="n">
        <v>5101006</v>
      </c>
      <c r="B80" s="15" t="s">
        <v>86</v>
      </c>
      <c r="C80" s="1" t="s">
        <v>8</v>
      </c>
      <c r="F80" s="9" t="n">
        <v>100</v>
      </c>
      <c r="G80" s="10" t="n">
        <v>0.7353</v>
      </c>
    </row>
    <row r="81" customFormat="false" ht="12.8" hidden="false" customHeight="false" outlineLevel="0" collapsed="false">
      <c r="A81" s="7" t="n">
        <v>5101202</v>
      </c>
      <c r="B81" s="15" t="s">
        <v>87</v>
      </c>
      <c r="C81" s="1" t="s">
        <v>8</v>
      </c>
      <c r="F81" s="9" t="n">
        <v>100</v>
      </c>
      <c r="G81" s="10" t="n">
        <v>0.809</v>
      </c>
    </row>
    <row r="82" customFormat="false" ht="12.8" hidden="false" customHeight="false" outlineLevel="0" collapsed="false">
      <c r="A82" s="3" t="n">
        <v>5150805</v>
      </c>
      <c r="B82" s="4" t="s">
        <v>88</v>
      </c>
      <c r="C82" s="1" t="s">
        <v>8</v>
      </c>
      <c r="D82" s="11"/>
      <c r="E82" s="11"/>
      <c r="F82" s="5" t="n">
        <v>100</v>
      </c>
      <c r="G82" s="16" t="n">
        <v>2.1309</v>
      </c>
    </row>
    <row r="83" customFormat="false" ht="12.8" hidden="false" customHeight="false" outlineLevel="0" collapsed="false">
      <c r="A83" s="7" t="n">
        <v>5130405</v>
      </c>
      <c r="B83" s="8" t="s">
        <v>89</v>
      </c>
      <c r="C83" s="1" t="s">
        <v>8</v>
      </c>
      <c r="D83" s="13"/>
      <c r="E83" s="13"/>
      <c r="F83" s="9" t="n">
        <v>100</v>
      </c>
      <c r="G83" s="16" t="n">
        <v>1.9078</v>
      </c>
    </row>
    <row r="84" customFormat="false" ht="12.8" hidden="false" customHeight="false" outlineLevel="0" collapsed="false">
      <c r="A84" s="7" t="n">
        <v>5100603</v>
      </c>
      <c r="B84" s="8" t="s">
        <v>90</v>
      </c>
      <c r="C84" s="1" t="s">
        <v>8</v>
      </c>
      <c r="D84" s="13"/>
      <c r="E84" s="13"/>
      <c r="F84" s="9" t="n">
        <v>500</v>
      </c>
      <c r="G84" s="16" t="n">
        <v>0.1239</v>
      </c>
    </row>
    <row r="85" customFormat="false" ht="12.8" hidden="false" customHeight="false" outlineLevel="0" collapsed="false">
      <c r="A85" s="7" t="n">
        <v>5100805</v>
      </c>
      <c r="B85" s="8" t="s">
        <v>91</v>
      </c>
      <c r="C85" s="1" t="s">
        <v>8</v>
      </c>
      <c r="D85" s="13"/>
      <c r="E85" s="13"/>
      <c r="F85" s="9" t="n">
        <v>100</v>
      </c>
      <c r="G85" s="16" t="n">
        <v>0.2594</v>
      </c>
    </row>
    <row r="86" customFormat="false" ht="12.8" hidden="false" customHeight="false" outlineLevel="0" collapsed="false">
      <c r="A86" s="7" t="n">
        <v>5101004</v>
      </c>
      <c r="B86" s="8" t="s">
        <v>92</v>
      </c>
      <c r="C86" s="1" t="s">
        <v>8</v>
      </c>
      <c r="D86" s="13"/>
      <c r="E86" s="13"/>
      <c r="F86" s="9" t="n">
        <v>100</v>
      </c>
      <c r="G86" s="16" t="n">
        <v>0.6193</v>
      </c>
    </row>
    <row r="87" customFormat="false" ht="12.8" hidden="false" customHeight="false" outlineLevel="0" collapsed="false">
      <c r="A87" s="7" t="n">
        <v>5100610</v>
      </c>
      <c r="B87" s="8" t="s">
        <v>93</v>
      </c>
      <c r="C87" s="1" t="s">
        <v>8</v>
      </c>
      <c r="D87" s="13"/>
      <c r="E87" s="13"/>
      <c r="F87" s="9" t="n">
        <v>100</v>
      </c>
      <c r="G87" s="16" t="n">
        <v>0.2594</v>
      </c>
    </row>
    <row r="88" customFormat="false" ht="12.8" hidden="false" customHeight="false" outlineLevel="0" collapsed="false">
      <c r="A88" s="7" t="n">
        <v>5700803</v>
      </c>
      <c r="B88" s="8" t="s">
        <v>94</v>
      </c>
      <c r="C88" s="1" t="s">
        <v>8</v>
      </c>
      <c r="D88" s="13"/>
      <c r="E88" s="13"/>
      <c r="F88" s="9" t="n">
        <v>200</v>
      </c>
      <c r="G88" s="16" t="n">
        <v>0.3787</v>
      </c>
    </row>
    <row r="89" customFormat="false" ht="12.8" hidden="false" customHeight="false" outlineLevel="0" collapsed="false">
      <c r="A89" s="7" t="n">
        <v>6700604</v>
      </c>
      <c r="B89" s="8" t="s">
        <v>95</v>
      </c>
      <c r="C89" s="1" t="s">
        <v>8</v>
      </c>
      <c r="D89" s="13"/>
      <c r="E89" s="13"/>
      <c r="F89" s="9" t="n">
        <v>500</v>
      </c>
      <c r="G89" s="16" t="n">
        <v>0.195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2026-07-21T17:40:30Z</dcterms:created>
  <dc:creator/>
  <dc:description/>
  <dc:language>pt-BR</dc:language>
  <cp:lastModifiedBy/>
  <dcterms:modified xsi:type="dcterms:W3CDTF">2026-07-22T18:39:18Z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